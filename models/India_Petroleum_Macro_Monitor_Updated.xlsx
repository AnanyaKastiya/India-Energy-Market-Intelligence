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Visual_Analytics" sheetId="2" state="visible" r:id="rId2"/>
    <sheet xmlns:r="http://schemas.openxmlformats.org/officeDocument/2006/relationships" name="Sensitivity_Model" sheetId="3" state="visible" r:id="rId3"/>
    <sheet xmlns:r="http://schemas.openxmlformats.org/officeDocument/2006/relationships" name="Refining_Balance_Sheet" sheetId="4" state="visible" r:id="rId4"/>
    <sheet xmlns:r="http://schemas.openxmlformats.org/officeDocument/2006/relationships" name="Product_Demand_M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#,##0.0"/>
    <numFmt numFmtId="167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9"/>
    </font>
    <font>
      <name val="Segoe UI"/>
      <b val="1"/>
      <color rgb="00555555"/>
      <sz val="8"/>
    </font>
    <font>
      <name val="Segoe UI"/>
      <b val="1"/>
      <color rgb="001B365D"/>
      <sz val="16"/>
    </font>
    <font>
      <name val="Segoe UI"/>
      <i val="1"/>
      <color rgb="00777777"/>
      <sz val="8"/>
    </font>
    <font>
      <name val="Segoe UI"/>
      <b val="1"/>
      <color rgb="001B365D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</fonts>
  <fills count="7">
    <fill>
      <patternFill/>
    </fill>
    <fill>
      <patternFill patternType="gray125"/>
    </fill>
    <fill>
      <patternFill patternType="solid">
        <fgColor rgb="00EAF2F8"/>
        <bgColor rgb="00EAF2F8"/>
      </patternFill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2E5B88"/>
        <bgColor rgb="002E5B88"/>
      </patternFill>
    </fill>
    <fill>
      <patternFill patternType="solid">
        <fgColor rgb="00F5A623"/>
        <bgColor rgb="00F5A62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4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4" fontId="8" fillId="4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2" fontId="8" fillId="4" borderId="1" applyAlignment="1" pivotButton="0" quotePrefix="0" xfId="0">
      <alignment horizontal="right"/>
    </xf>
    <xf numFmtId="0" fontId="9" fillId="0" borderId="0" pivotButton="0" quotePrefix="0" xfId="0"/>
    <xf numFmtId="4" fontId="9" fillId="0" borderId="2" pivotButton="0" quotePrefix="0" xfId="0"/>
    <xf numFmtId="164" fontId="9" fillId="0" borderId="2" pivotButton="0" quotePrefix="0" xfId="0"/>
    <xf numFmtId="0" fontId="7" fillId="3" borderId="0" pivotButton="0" quotePrefix="0" xfId="0"/>
    <xf numFmtId="0" fontId="7" fillId="5" borderId="0" pivotButton="0" quotePrefix="0" xfId="0"/>
    <xf numFmtId="0" fontId="8" fillId="0" borderId="1" pivotButton="0" quotePrefix="0" xfId="0"/>
    <xf numFmtId="166" fontId="9" fillId="2" borderId="1" pivotButton="0" quotePrefix="0" xfId="0"/>
    <xf numFmtId="2" fontId="9" fillId="2" borderId="1" pivotButton="0" quotePrefix="0" xfId="0"/>
    <xf numFmtId="0" fontId="8" fillId="0" borderId="0" pivotButton="0" quotePrefix="0" xfId="0"/>
    <xf numFmtId="165" fontId="9" fillId="2" borderId="1" pivotButton="0" quotePrefix="0" xfId="0"/>
    <xf numFmtId="167" fontId="9" fillId="2" borderId="1" pivotButton="0" quotePrefix="0" xfId="0"/>
    <xf numFmtId="0" fontId="7" fillId="3" borderId="0" applyAlignment="1" pivotButton="0" quotePrefix="0" xfId="0">
      <alignment horizontal="center"/>
    </xf>
    <xf numFmtId="165" fontId="9" fillId="4" borderId="1" applyAlignment="1" pivotButton="0" quotePrefix="0" xfId="0">
      <alignment horizontal="center"/>
    </xf>
    <xf numFmtId="165" fontId="8" fillId="6" borderId="1" applyAlignment="1" pivotButton="0" quotePrefix="0" xfId="0">
      <alignment horizontal="right"/>
    </xf>
    <xf numFmtId="0" fontId="7" fillId="5" borderId="0" applyAlignment="1" pivotButton="0" quotePrefix="0" xfId="0">
      <alignment horizontal="center"/>
    </xf>
    <xf numFmtId="167" fontId="8" fillId="0" borderId="1" applyAlignment="1" pivotButton="0" quotePrefix="0" xfId="0">
      <alignment horizontal="right"/>
    </xf>
    <xf numFmtId="167" fontId="8" fillId="6" borderId="1" applyAlignment="1" pivotButton="0" quotePrefix="0" xfId="0">
      <alignment horizontal="right"/>
    </xf>
    <xf numFmtId="0" fontId="7" fillId="3" borderId="0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/>
    </xf>
    <xf numFmtId="4" fontId="9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Domestic Crude Production vs. Crude Oil Imports (MMT)</a:t>
            </a:r>
          </a:p>
        </rich>
      </tx>
    </title>
    <plotArea>
      <areaChart>
        <grouping val="standard"/>
        <ser>
          <idx val="0"/>
          <order val="0"/>
          <tx>
            <strRef>
              <f>'Executive_Dashboard'!C10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'Executive_Dashboard'!$C$11:$C$20</f>
            </numRef>
          </val>
        </ser>
        <ser>
          <idx val="1"/>
          <order val="1"/>
          <tx>
            <strRef>
              <f>'Executive_Dashboard'!E10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'Executive_Dashboard'!$E$11:$E$20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Crude Oil Import Bill ($ Billion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'Executive_Dashboard'!$I$11:$I$20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Energy Security Deficit: Domestic Production vs. Imports (MMT)</a:t>
            </a:r>
          </a:p>
        </rich>
      </tx>
    </title>
    <plotArea>
      <areaChart>
        <grouping val="standard"/>
        <ser>
          <idx val="0"/>
          <order val="0"/>
          <tx>
            <strRef>
              <f>'Executive_Dashboard'!C10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'Executive_Dashboard'!$C$11:$C$20</f>
            </numRef>
          </val>
        </ser>
        <ser>
          <idx val="1"/>
          <order val="1"/>
          <tx>
            <strRef>
              <f>'Executive_Dashboard'!E10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'Executive_Dashboard'!$E$11:$E$20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Annual Crude Oil Import Bill ($ Billion 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'Executive_Dashboard'!$B$11:$B$20</f>
            </numRef>
          </cat>
          <val>
            <numRef>
              <f>'Executive_Dashboard'!$I$11:$I$20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Forex Bill ($B)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FY 2023-24 Fuel Demand Slate Breakdown (Diesel Dominance)</a:t>
            </a:r>
          </a:p>
        </rich>
      </tx>
    </title>
    <plotArea>
      <doughnutChart>
        <varyColors val="1"/>
        <ser>
          <idx val="0"/>
          <order val="0"/>
          <tx>
            <strRef>
              <f>'Visual_Analytics'!U6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'Visual_Analytics'!$T$7:$T$15</f>
            </numRef>
          </cat>
          <val>
            <numRef>
              <f>'Visual_Analytics'!$U$7:$U$15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Top 6 Indian Refining Hubs (10-Year Cumulative Intake - MMT)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'Visual_Analytics'!X6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'Visual_Analytics'!$W$7:$W$12</f>
            </numRef>
          </cat>
          <val>
            <numRef>
              <f>'Visual_Analytics'!$X$7:$X$12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Throughput (MMT)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Facility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6 Indian Refining Facilities by 10-Year Crude Throughput (MMT)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'Visual_Analytics'!X6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'Visual_Analytics'!$W$7:$W$12</f>
            </numRef>
          </cat>
          <val>
            <numRef>
              <f>'Visual_Analytics'!$X$7:$X$12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2023-24 Fuel Demand Slate Breakdown (Diesel Dominance)</a:t>
            </a:r>
          </a:p>
        </rich>
      </tx>
    </title>
    <plotArea>
      <doughnutChart>
        <varyColors val="1"/>
        <ser>
          <idx val="0"/>
          <order val="0"/>
          <tx>
            <strRef>
              <f>'Visual_Analytics'!U6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'Visual_Analytics'!$T$7:$T$15</f>
            </numRef>
          </cat>
          <val>
            <numRef>
              <f>'Visual_Analytics'!$U$7:$U$15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54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540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55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</row>
      <rowOff>0</rowOff>
    </from>
    <ext cx="55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580000" cy="352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25</row>
      <rowOff>0</rowOff>
    </from>
    <ext cx="5580000" cy="352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23" customWidth="1" min="3" max="3"/>
    <col width="24" customWidth="1" min="4" max="4"/>
    <col width="22" customWidth="1" min="5" max="5"/>
    <col width="21" customWidth="1" min="6" max="6"/>
    <col width="20" customWidth="1" min="7" max="7"/>
    <col width="20" customWidth="1" min="8" max="8"/>
    <col width="20" customWidth="1" min="9" max="9"/>
    <col width="26" customWidth="1" min="10" max="10"/>
    <col width="24" customWidth="1" min="11" max="11"/>
    <col width="22" customWidth="1" min="12" max="12"/>
    <col width="23" customWidth="1" min="13" max="13"/>
  </cols>
  <sheetData>
    <row r="1"/>
    <row r="2">
      <c r="B2" s="1" t="inlineStr">
        <is>
          <t>INDIA PETROLEUM &amp; REFINING MACRO MONITOR</t>
        </is>
      </c>
    </row>
    <row r="3">
      <c r="B3" s="2" t="inlineStr">
        <is>
          <t>Historical 10-Year Macro Ledger, Upstream Production Deficit &amp; Energy Security Benchmark</t>
        </is>
      </c>
    </row>
    <row r="4"/>
    <row r="5">
      <c r="B5" s="3" t="inlineStr">
        <is>
          <t>LATEST CRUDE IMPORT DEP.</t>
        </is>
      </c>
      <c r="E5" s="3" t="inlineStr">
        <is>
          <t>INDIAN CRUDE BASKET</t>
        </is>
      </c>
      <c r="H5" s="3" t="inlineStr">
        <is>
          <t>ANNUAL CRUDE IMPORT BILL</t>
        </is>
      </c>
      <c r="K5" s="3" t="inlineStr">
        <is>
          <t>TOTAL REFINING INTAKE</t>
        </is>
      </c>
    </row>
    <row r="6">
      <c r="B6" s="4" t="inlineStr">
        <is>
          <t>90.7%</t>
        </is>
      </c>
      <c r="E6" s="4" t="inlineStr">
        <is>
          <t>$84.5 / bbl</t>
        </is>
      </c>
      <c r="H6" s="4" t="inlineStr">
        <is>
          <t>$132.4 Billion</t>
        </is>
      </c>
      <c r="K6" s="4" t="inlineStr">
        <is>
          <t>256.8 MMTPA</t>
        </is>
      </c>
    </row>
    <row r="7">
      <c r="B7" s="5" t="inlineStr">
        <is>
          <t>FY 2023-24 Average</t>
        </is>
      </c>
      <c r="E7" s="5" t="inlineStr">
        <is>
          <t>March 2024 Benchmark</t>
        </is>
      </c>
      <c r="H7" s="5" t="inlineStr">
        <is>
          <t>FY 2023-24 Total Forex</t>
        </is>
      </c>
      <c r="K7" s="5" t="inlineStr">
        <is>
          <t>&gt;102% Capacity Utilization</t>
        </is>
      </c>
    </row>
    <row r="8"/>
    <row r="9">
      <c r="B9" s="6" t="inlineStr">
        <is>
          <t>Historical Macro Ledger (FY 2014-15 to FY 2023-24)</t>
        </is>
      </c>
    </row>
    <row r="10">
      <c r="B10" s="7" t="inlineStr">
        <is>
          <t>Fiscal Year</t>
        </is>
      </c>
      <c r="C10" s="7" t="inlineStr">
        <is>
          <t>Domestic Crude (MMT)</t>
        </is>
      </c>
      <c r="D10" s="7" t="inlineStr">
        <is>
          <t>Refinery Intake (MMT)</t>
        </is>
      </c>
      <c r="E10" s="7" t="inlineStr">
        <is>
          <t>Crude Imports (MMT)</t>
        </is>
      </c>
      <c r="F10" s="7" t="inlineStr">
        <is>
          <t>Import Dep. (%)</t>
        </is>
      </c>
      <c r="G10" s="7" t="inlineStr">
        <is>
          <t>ICB Price ($/bbl)</t>
        </is>
      </c>
      <c r="H10" s="7" t="inlineStr">
        <is>
          <t>USD/INR</t>
        </is>
      </c>
      <c r="I10" s="7" t="inlineStr">
        <is>
          <t>Import Bill ($B)</t>
        </is>
      </c>
      <c r="J10" s="7" t="inlineStr">
        <is>
          <t>Import Bill (₹ Lakh Cr)</t>
        </is>
      </c>
      <c r="K10" s="7" t="inlineStr">
        <is>
          <t>Product Exports (MMT)</t>
        </is>
      </c>
      <c r="L10" s="7" t="inlineStr">
        <is>
          <t>Export Revenue ($B)</t>
        </is>
      </c>
      <c r="M10" s="7" t="inlineStr">
        <is>
          <t>Net Oil Balance ($B)</t>
        </is>
      </c>
    </row>
    <row r="11">
      <c r="B11" s="8" t="inlineStr">
        <is>
          <t>FY 2014-15</t>
        </is>
      </c>
      <c r="C11" s="9" t="n">
        <v>33.64</v>
      </c>
      <c r="D11" s="9" t="n">
        <v>224.94</v>
      </c>
      <c r="E11" s="9" t="n">
        <v>193.1</v>
      </c>
      <c r="F11" s="10" t="n">
        <v>0.8584000000000001</v>
      </c>
      <c r="G11" s="11" t="n">
        <v>72.02</v>
      </c>
      <c r="H11" s="12" t="n">
        <v>61.34</v>
      </c>
      <c r="I11" s="11" t="n">
        <v>101.58</v>
      </c>
      <c r="J11" s="9" t="n">
        <v>6.22</v>
      </c>
      <c r="K11" s="9" t="n">
        <v>57.64</v>
      </c>
      <c r="L11" s="11" t="n">
        <v>37.46</v>
      </c>
      <c r="M11" s="11" t="n">
        <v>-81.04000000000001</v>
      </c>
    </row>
    <row r="12">
      <c r="B12" s="13" t="inlineStr">
        <is>
          <t>FY 2015-16</t>
        </is>
      </c>
      <c r="C12" s="14" t="n">
        <v>33.4</v>
      </c>
      <c r="D12" s="14" t="n">
        <v>228.89</v>
      </c>
      <c r="E12" s="14" t="n">
        <v>197.29</v>
      </c>
      <c r="F12" s="15" t="n">
        <v>0.8618000000000001</v>
      </c>
      <c r="G12" s="16" t="n">
        <v>50.14</v>
      </c>
      <c r="H12" s="17" t="n">
        <v>63.85</v>
      </c>
      <c r="I12" s="16" t="n">
        <v>72.48999999999999</v>
      </c>
      <c r="J12" s="14" t="n">
        <v>4.62</v>
      </c>
      <c r="K12" s="14" t="n">
        <v>58.53</v>
      </c>
      <c r="L12" s="16" t="n">
        <v>28.41</v>
      </c>
      <c r="M12" s="16" t="n">
        <v>-57.09</v>
      </c>
    </row>
    <row r="13">
      <c r="B13" s="8" t="inlineStr">
        <is>
          <t>FY 2016-17</t>
        </is>
      </c>
      <c r="C13" s="9" t="n">
        <v>32.21</v>
      </c>
      <c r="D13" s="9" t="n">
        <v>236.55</v>
      </c>
      <c r="E13" s="9" t="n">
        <v>206.15</v>
      </c>
      <c r="F13" s="10" t="n">
        <v>0.8714</v>
      </c>
      <c r="G13" s="11" t="n">
        <v>48.01</v>
      </c>
      <c r="H13" s="12" t="n">
        <v>66.33</v>
      </c>
      <c r="I13" s="11" t="n">
        <v>72.67</v>
      </c>
      <c r="J13" s="9" t="n">
        <v>4.82</v>
      </c>
      <c r="K13" s="9" t="n">
        <v>60.36</v>
      </c>
      <c r="L13" s="11" t="n">
        <v>28.27</v>
      </c>
      <c r="M13" s="11" t="n">
        <v>-57.33</v>
      </c>
    </row>
    <row r="14">
      <c r="B14" s="13" t="inlineStr">
        <is>
          <t>FY 2017-18</t>
        </is>
      </c>
      <c r="C14" s="14" t="n">
        <v>31.8</v>
      </c>
      <c r="D14" s="14" t="n">
        <v>240.9</v>
      </c>
      <c r="E14" s="14" t="n">
        <v>210.9</v>
      </c>
      <c r="F14" s="15" t="n">
        <v>0.8754000000000001</v>
      </c>
      <c r="G14" s="16" t="n">
        <v>63.34</v>
      </c>
      <c r="H14" s="17" t="n">
        <v>68.22</v>
      </c>
      <c r="I14" s="16" t="n">
        <v>98.01000000000001</v>
      </c>
      <c r="J14" s="14" t="n">
        <v>6.69</v>
      </c>
      <c r="K14" s="14" t="n">
        <v>60.73</v>
      </c>
      <c r="L14" s="16" t="n">
        <v>35.47</v>
      </c>
      <c r="M14" s="16" t="n">
        <v>-80.01000000000001</v>
      </c>
    </row>
    <row r="15">
      <c r="B15" s="8" t="inlineStr">
        <is>
          <t>FY 2018-19</t>
        </is>
      </c>
      <c r="C15" s="9" t="n">
        <v>31.34</v>
      </c>
      <c r="D15" s="9" t="n">
        <v>247.54</v>
      </c>
      <c r="E15" s="9" t="n">
        <v>218</v>
      </c>
      <c r="F15" s="10" t="n">
        <v>0.8806</v>
      </c>
      <c r="G15" s="11" t="n">
        <v>68.01000000000001</v>
      </c>
      <c r="H15" s="12" t="n">
        <v>70.41</v>
      </c>
      <c r="I15" s="11" t="n">
        <v>108.65</v>
      </c>
      <c r="J15" s="9" t="n">
        <v>7.65</v>
      </c>
      <c r="K15" s="9" t="n">
        <v>61.53</v>
      </c>
      <c r="L15" s="11" t="n">
        <v>38.08</v>
      </c>
      <c r="M15" s="11" t="n">
        <v>-89.84</v>
      </c>
    </row>
    <row r="16">
      <c r="B16" s="13" t="inlineStr">
        <is>
          <t>FY 2019-20</t>
        </is>
      </c>
      <c r="C16" s="14" t="n">
        <v>30.61</v>
      </c>
      <c r="D16" s="14" t="n">
        <v>252.12</v>
      </c>
      <c r="E16" s="14" t="n">
        <v>223.31</v>
      </c>
      <c r="F16" s="15" t="n">
        <v>0.8856999999999999</v>
      </c>
      <c r="G16" s="16" t="n">
        <v>56.93</v>
      </c>
      <c r="H16" s="17" t="n">
        <v>72.84999999999999</v>
      </c>
      <c r="I16" s="16" t="n">
        <v>93.08</v>
      </c>
      <c r="J16" s="14" t="n">
        <v>6.77</v>
      </c>
      <c r="K16" s="14" t="n">
        <v>62.69</v>
      </c>
      <c r="L16" s="16" t="n">
        <v>33.49</v>
      </c>
      <c r="M16" s="16" t="n">
        <v>-76.58</v>
      </c>
    </row>
    <row r="17">
      <c r="B17" s="8" t="inlineStr">
        <is>
          <t>FY 2020-21</t>
        </is>
      </c>
      <c r="C17" s="9" t="n">
        <v>29.81</v>
      </c>
      <c r="D17" s="9" t="n">
        <v>251.87</v>
      </c>
      <c r="E17" s="9" t="n">
        <v>223.85</v>
      </c>
      <c r="F17" s="10" t="n">
        <v>0.8873000000000001</v>
      </c>
      <c r="G17" s="11" t="n">
        <v>50.5</v>
      </c>
      <c r="H17" s="12" t="n">
        <v>74.97</v>
      </c>
      <c r="I17" s="11" t="n">
        <v>84.23</v>
      </c>
      <c r="J17" s="9" t="n">
        <v>6.33</v>
      </c>
      <c r="K17" s="9" t="n">
        <v>64.26000000000001</v>
      </c>
      <c r="L17" s="11" t="n">
        <v>31.24</v>
      </c>
      <c r="M17" s="11" t="n">
        <v>-69.01000000000001</v>
      </c>
    </row>
    <row r="18">
      <c r="B18" s="13" t="inlineStr">
        <is>
          <t>FY 2021-22</t>
        </is>
      </c>
      <c r="C18" s="14" t="n">
        <v>29.28</v>
      </c>
      <c r="D18" s="14" t="n">
        <v>265</v>
      </c>
      <c r="E18" s="14" t="n">
        <v>237.51</v>
      </c>
      <c r="F18" s="15" t="n">
        <v>0.8963</v>
      </c>
      <c r="G18" s="16" t="n">
        <v>81.76000000000001</v>
      </c>
      <c r="H18" s="17" t="n">
        <v>77.48</v>
      </c>
      <c r="I18" s="16" t="n">
        <v>142.38</v>
      </c>
      <c r="J18" s="14" t="n">
        <v>11.04</v>
      </c>
      <c r="K18" s="14" t="n">
        <v>64.94</v>
      </c>
      <c r="L18" s="16" t="n">
        <v>46.96</v>
      </c>
      <c r="M18" s="16" t="n">
        <v>-121.02</v>
      </c>
    </row>
    <row r="19">
      <c r="B19" s="8" t="inlineStr">
        <is>
          <t>FY 2022-23</t>
        </is>
      </c>
      <c r="C19" s="9" t="n">
        <v>28.71</v>
      </c>
      <c r="D19" s="9" t="n">
        <v>269.63</v>
      </c>
      <c r="E19" s="9" t="n">
        <v>242.72</v>
      </c>
      <c r="F19" s="10" t="n">
        <v>0.9002</v>
      </c>
      <c r="G19" s="11" t="n">
        <v>86.51000000000001</v>
      </c>
      <c r="H19" s="12" t="n">
        <v>79.59999999999999</v>
      </c>
      <c r="I19" s="11" t="n">
        <v>153.77</v>
      </c>
      <c r="J19" s="9" t="n">
        <v>12.23</v>
      </c>
      <c r="K19" s="9" t="n">
        <v>66.25</v>
      </c>
      <c r="L19" s="11" t="n">
        <v>50.17</v>
      </c>
      <c r="M19" s="11" t="n">
        <v>-131.34</v>
      </c>
    </row>
    <row r="20">
      <c r="B20" s="13" t="inlineStr">
        <is>
          <t>FY 2023-24</t>
        </is>
      </c>
      <c r="C20" s="14" t="n">
        <v>27.99</v>
      </c>
      <c r="D20" s="14" t="n">
        <v>276.58</v>
      </c>
      <c r="E20" s="14" t="n">
        <v>250.39</v>
      </c>
      <c r="F20" s="15" t="n">
        <v>0.9053</v>
      </c>
      <c r="G20" s="16" t="n">
        <v>82.34999999999999</v>
      </c>
      <c r="H20" s="17" t="n">
        <v>81.68000000000001</v>
      </c>
      <c r="I20" s="16" t="n">
        <v>151.13</v>
      </c>
      <c r="J20" s="14" t="n">
        <v>12.35</v>
      </c>
      <c r="K20" s="14" t="n">
        <v>66.81</v>
      </c>
      <c r="L20" s="16" t="n">
        <v>48.54</v>
      </c>
      <c r="M20" s="16" t="n">
        <v>-130.14</v>
      </c>
    </row>
    <row r="21">
      <c r="B21" s="18" t="inlineStr">
        <is>
          <t>10-Year Average</t>
        </is>
      </c>
      <c r="C21" s="19">
        <f>AVERAGE(C11:C20)</f>
        <v/>
      </c>
      <c r="D21" s="19">
        <f>AVERAGE(D11:D20)</f>
        <v/>
      </c>
      <c r="E21" s="19">
        <f>AVERAGE(E11:E20)</f>
        <v/>
      </c>
      <c r="F21" s="20">
        <f>AVERAGE(F11:F20)</f>
        <v/>
      </c>
      <c r="G21" s="19">
        <f>AVERAGE(G11:G20)</f>
        <v/>
      </c>
      <c r="H21" s="19">
        <f>AVERAGE(H11:H20)</f>
        <v/>
      </c>
      <c r="I21" s="19">
        <f>AVERAGE(I11:I20)</f>
        <v/>
      </c>
      <c r="J21" s="19">
        <f>AVERAGE(J11:J20)</f>
        <v/>
      </c>
      <c r="K21" s="19">
        <f>AVERAGE(K11:K20)</f>
        <v/>
      </c>
      <c r="L21" s="19">
        <f>AVERAGE(L11:L20)</f>
        <v/>
      </c>
      <c r="M21" s="19">
        <f>AVERAGE(M11:M20)</f>
        <v/>
      </c>
    </row>
  </sheetData>
  <mergeCells count="12">
    <mergeCell ref="B6:C6"/>
    <mergeCell ref="K7:L7"/>
    <mergeCell ref="E6:F6"/>
    <mergeCell ref="H6:I6"/>
    <mergeCell ref="B7:C7"/>
    <mergeCell ref="E7:F7"/>
    <mergeCell ref="B5:C5"/>
    <mergeCell ref="H7:I7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32" customWidth="1" min="20" max="20"/>
    <col width="15" customWidth="1" min="21" max="21"/>
    <col width="12" customWidth="1" min="22" max="22"/>
    <col width="33" customWidth="1" min="23" max="23"/>
    <col width="21" customWidth="1" min="24" max="24"/>
  </cols>
  <sheetData>
    <row r="1"/>
    <row r="2">
      <c r="B2" s="1" t="inlineStr">
        <is>
          <t>EXECUTIVE ENERGY ANALYTICS &amp; VISUAL DASHBOARD</t>
        </is>
      </c>
    </row>
    <row r="3">
      <c r="B3" s="2" t="inlineStr">
        <is>
          <t>4 Core Consulting Visuals: Energy Deficit, Macro Volatility, Fuel Slate Breakdown &amp; Refining Hubs</t>
        </is>
      </c>
    </row>
    <row r="4"/>
    <row r="5">
      <c r="T5" s="6" t="inlineStr">
        <is>
          <t>Product Slate (FY24)</t>
        </is>
      </c>
      <c r="W5" s="6" t="inlineStr">
        <is>
          <t>Top Refining Hubs</t>
        </is>
      </c>
    </row>
    <row r="6">
      <c r="T6" s="21" t="inlineStr">
        <is>
          <t>Petroleum Product</t>
        </is>
      </c>
      <c r="U6" s="21" t="inlineStr">
        <is>
          <t>Volume (MMT)</t>
        </is>
      </c>
      <c r="W6" s="22" t="inlineStr">
        <is>
          <t>Refinery Facility</t>
        </is>
      </c>
      <c r="X6" s="22" t="inlineStr">
        <is>
          <t>10-Yr Intake (MMT)</t>
        </is>
      </c>
    </row>
    <row r="7">
      <c r="T7" s="23" t="inlineStr">
        <is>
          <t>High Speed Diesel (HSD)</t>
        </is>
      </c>
      <c r="U7" s="9" t="n">
        <v>89.14</v>
      </c>
      <c r="W7" s="23" t="inlineStr">
        <is>
          <t>Reliance Jamnagar (SEZ Export)</t>
        </is>
      </c>
      <c r="X7" s="9" t="n">
        <v>373.9</v>
      </c>
    </row>
    <row r="8">
      <c r="T8" s="23" t="inlineStr">
        <is>
          <t>Motor Spirit (Petrol / MS)</t>
        </is>
      </c>
      <c r="U8" s="9" t="n">
        <v>41.43</v>
      </c>
      <c r="W8" s="23" t="inlineStr">
        <is>
          <t>Reliance Jamnagar (DTA)</t>
        </is>
      </c>
      <c r="X8" s="9" t="n">
        <v>354.84</v>
      </c>
    </row>
    <row r="9">
      <c r="T9" s="23" t="inlineStr">
        <is>
          <t>Liquefied Petroleum Gas (LPG)</t>
        </is>
      </c>
      <c r="U9" s="9" t="n">
        <v>33.15</v>
      </c>
      <c r="W9" s="23" t="inlineStr">
        <is>
          <t>Nayara Energy (Vadinar)</t>
        </is>
      </c>
      <c r="X9" s="9" t="n">
        <v>212.16</v>
      </c>
    </row>
    <row r="10">
      <c r="T10" s="23" t="inlineStr">
        <is>
          <t>Petroleum Coke (Petcoke)</t>
        </is>
      </c>
      <c r="U10" s="9" t="n">
        <v>17.97</v>
      </c>
      <c r="W10" s="23" t="inlineStr">
        <is>
          <t>BPCL Kochi</t>
        </is>
      </c>
      <c r="X10" s="9" t="n">
        <v>154.44</v>
      </c>
    </row>
    <row r="11">
      <c r="T11" s="23" t="inlineStr">
        <is>
          <t>Light Diesel Oil &amp; Lubes</t>
        </is>
      </c>
      <c r="U11" s="9" t="n">
        <v>16.78</v>
      </c>
      <c r="W11" s="23" t="inlineStr">
        <is>
          <t>MRPL Mangalore</t>
        </is>
      </c>
      <c r="X11" s="9" t="n">
        <v>150.52</v>
      </c>
    </row>
    <row r="12">
      <c r="T12" s="23" t="inlineStr">
        <is>
          <t>Naphtha</t>
        </is>
      </c>
      <c r="U12" s="9" t="n">
        <v>14.48</v>
      </c>
      <c r="W12" s="23" t="inlineStr">
        <is>
          <t>IOCL Paradip</t>
        </is>
      </c>
      <c r="X12" s="9" t="n">
        <v>149.36</v>
      </c>
    </row>
    <row r="13">
      <c r="T13" s="23" t="inlineStr">
        <is>
          <t>Fuel Oil (FO / LSHS)</t>
        </is>
      </c>
      <c r="U13" s="9" t="n">
        <v>10.86</v>
      </c>
    </row>
    <row r="14">
      <c r="T14" s="23" t="inlineStr">
        <is>
          <t>Bitumen</t>
        </is>
      </c>
      <c r="U14" s="9" t="n">
        <v>8.880000000000001</v>
      </c>
    </row>
    <row r="15">
      <c r="T15" s="23" t="inlineStr">
        <is>
          <t>Aviation Turbine Fuel (ATF)</t>
        </is>
      </c>
      <c r="U15" s="9" t="n">
        <v>8.41</v>
      </c>
    </row>
    <row r="16"/>
    <row r="17"/>
    <row r="18"/>
    <row r="19"/>
    <row r="20"/>
    <row r="21"/>
    <row r="22"/>
    <row r="23"/>
    <row r="24">
      <c r="B24" s="6" t="inlineStr">
        <is>
          <t>3. DOWNSTREAM FUEL DEMAND SLATE</t>
        </is>
      </c>
      <c r="K24" s="6" t="inlineStr">
        <is>
          <t>4. TOP 6 INDIAN REFINING HUBS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52" customWidth="1" min="9" max="9"/>
    <col width="96" customWidth="1" min="10" max="10"/>
  </cols>
  <sheetData>
    <row r="1"/>
    <row r="2">
      <c r="B2" s="1" t="inlineStr">
        <is>
          <t>MACROECONOMIC FOREX SENSITIVITY ENGINE</t>
        </is>
      </c>
    </row>
    <row r="3">
      <c r="B3" s="2" t="inlineStr">
        <is>
          <t>Two-Way Matrix Simulating Indian Crude Import Bill Exposure to Global Oil Price &amp; Currency Shocks</t>
        </is>
      </c>
    </row>
    <row r="4"/>
    <row r="5">
      <c r="B5" s="6" t="inlineStr">
        <is>
          <t>Baseline Parameters (FY 2024-25 Benchmark)</t>
        </is>
      </c>
      <c r="I5" s="6" t="inlineStr">
        <is>
          <t>ANALYTICAL TAKEAWAYS (INDIA MACRO RULES OF THUMB)</t>
        </is>
      </c>
    </row>
    <row r="6">
      <c r="B6" s="23" t="inlineStr">
        <is>
          <t>Annual Crude Import Volume (MMT)</t>
        </is>
      </c>
      <c r="C6" s="24" t="n">
        <v>232.5</v>
      </c>
    </row>
    <row r="7">
      <c r="B7" s="23" t="inlineStr">
        <is>
          <t>Conversion Factor (Barrels per Metric Ton)</t>
        </is>
      </c>
      <c r="C7" s="25" t="n">
        <v>7.33</v>
      </c>
      <c r="I7" s="18" t="inlineStr">
        <is>
          <t>+$1/bbl Increase in Crude Price</t>
        </is>
      </c>
      <c r="J7" s="26" t="inlineStr">
        <is>
          <t>Expands annual import bill by ~$1.7 Billion USD (~₹14,100 Crore).</t>
        </is>
      </c>
    </row>
    <row r="8">
      <c r="B8" s="23" t="inlineStr">
        <is>
          <t>Annual Crude Import Volume (Million Barrels)</t>
        </is>
      </c>
      <c r="C8" s="24">
        <f>C6*C7</f>
        <v/>
      </c>
      <c r="I8" s="18" t="inlineStr">
        <is>
          <t>+₹1/$ Depreciation in Rupee</t>
        </is>
      </c>
      <c r="J8" s="26" t="inlineStr">
        <is>
          <t>Expands annual oil bill by ~₹13,500 Crore even if oil prices remain flat.</t>
        </is>
      </c>
    </row>
    <row r="9">
      <c r="B9" s="23" t="inlineStr">
        <is>
          <t>Base Indian Crude Basket Price ($/bbl)</t>
        </is>
      </c>
      <c r="C9" s="27" t="n">
        <v>80</v>
      </c>
      <c r="I9" s="18" t="inlineStr">
        <is>
          <t>Fiscal Impact</t>
        </is>
      </c>
      <c r="J9" s="26" t="inlineStr">
        <is>
          <t>Directly pressures Current Account Deficit (CAD) and retail inflation via freight costs.</t>
        </is>
      </c>
    </row>
    <row r="10">
      <c r="B10" s="23" t="inlineStr">
        <is>
          <t>Base USD/INR Exchange Rate (₹/$)</t>
        </is>
      </c>
      <c r="C10" s="25" t="n">
        <v>83</v>
      </c>
      <c r="I10" s="18" t="inlineStr">
        <is>
          <t>Strategic Buffer</t>
        </is>
      </c>
      <c r="J10" s="26" t="inlineStr">
        <is>
          <t>Domestic refining margins and product exports offset ~35-40% of the gross crude import shock.</t>
        </is>
      </c>
    </row>
    <row r="11">
      <c r="B11" s="23" t="inlineStr">
        <is>
          <t>Baseline Annual Import Bill ($ Billion)</t>
        </is>
      </c>
      <c r="C11" s="27">
        <f>(C8*C9)/1000</f>
        <v/>
      </c>
    </row>
    <row r="12">
      <c r="B12" s="23" t="inlineStr">
        <is>
          <t>Baseline Annual Import Bill (₹ Lakh Crore)</t>
        </is>
      </c>
      <c r="C12" s="28">
        <f>(C11*C10)/100</f>
        <v/>
      </c>
    </row>
    <row r="13"/>
    <row r="14"/>
    <row r="15">
      <c r="B15" s="6" t="inlineStr">
        <is>
          <t>Sensitivity Matrix 1: Annual Crude Import Bill ($ Billion USD)</t>
        </is>
      </c>
    </row>
    <row r="16">
      <c r="B16" s="2" t="inlineStr">
        <is>
          <t>Testing Crude Price ($/bbl) against Import Volume Fluctuations (±10%)</t>
        </is>
      </c>
    </row>
    <row r="17"/>
    <row r="18">
      <c r="B18" s="29" t="inlineStr">
        <is>
          <t>Crude Price ($/bbl)</t>
        </is>
      </c>
      <c r="C18" s="29" t="inlineStr">
        <is>
          <t>-10% Vol</t>
        </is>
      </c>
      <c r="D18" s="29" t="inlineStr">
        <is>
          <t>-5% Vol</t>
        </is>
      </c>
      <c r="E18" s="29" t="inlineStr">
        <is>
          <t>Base Vol (232.5 MMT)</t>
        </is>
      </c>
      <c r="F18" s="29" t="inlineStr">
        <is>
          <t>+5% Vol</t>
        </is>
      </c>
      <c r="G18" s="29" t="inlineStr">
        <is>
          <t>+10% Vol</t>
        </is>
      </c>
    </row>
    <row r="19">
      <c r="B19" s="30" t="n">
        <v>60</v>
      </c>
      <c r="C19" s="11">
        <f>(B19 * $C$8 * (1 + -0.1)) / 1000</f>
        <v/>
      </c>
      <c r="D19" s="11">
        <f>(B19 * $C$8 * (1 + -0.05)) / 1000</f>
        <v/>
      </c>
      <c r="E19" s="11">
        <f>(B19 * $C$8 * (1 + 0.0)) / 1000</f>
        <v/>
      </c>
      <c r="F19" s="11">
        <f>(B19 * $C$8 * (1 + 0.05)) / 1000</f>
        <v/>
      </c>
      <c r="G19" s="11">
        <f>(B19 * $C$8 * (1 + 0.1)) / 1000</f>
        <v/>
      </c>
    </row>
    <row r="20">
      <c r="B20" s="30" t="n">
        <v>70</v>
      </c>
      <c r="C20" s="11">
        <f>(B20 * $C$8 * (1 + -0.1)) / 1000</f>
        <v/>
      </c>
      <c r="D20" s="11">
        <f>(B20 * $C$8 * (1 + -0.05)) / 1000</f>
        <v/>
      </c>
      <c r="E20" s="11">
        <f>(B20 * $C$8 * (1 + 0.0)) / 1000</f>
        <v/>
      </c>
      <c r="F20" s="11">
        <f>(B20 * $C$8 * (1 + 0.05)) / 1000</f>
        <v/>
      </c>
      <c r="G20" s="11">
        <f>(B20 * $C$8 * (1 + 0.1)) / 1000</f>
        <v/>
      </c>
    </row>
    <row r="21">
      <c r="B21" s="30" t="n">
        <v>80</v>
      </c>
      <c r="C21" s="11">
        <f>(B21 * $C$8 * (1 + -0.1)) / 1000</f>
        <v/>
      </c>
      <c r="D21" s="11">
        <f>(B21 * $C$8 * (1 + -0.05)) / 1000</f>
        <v/>
      </c>
      <c r="E21" s="31">
        <f>(B21 * $C$8 * (1 + 0.0)) / 1000</f>
        <v/>
      </c>
      <c r="F21" s="11">
        <f>(B21 * $C$8 * (1 + 0.05)) / 1000</f>
        <v/>
      </c>
      <c r="G21" s="11">
        <f>(B21 * $C$8 * (1 + 0.1)) / 1000</f>
        <v/>
      </c>
    </row>
    <row r="22">
      <c r="B22" s="30" t="n">
        <v>90</v>
      </c>
      <c r="C22" s="11">
        <f>(B22 * $C$8 * (1 + -0.1)) / 1000</f>
        <v/>
      </c>
      <c r="D22" s="11">
        <f>(B22 * $C$8 * (1 + -0.05)) / 1000</f>
        <v/>
      </c>
      <c r="E22" s="11">
        <f>(B22 * $C$8 * (1 + 0.0)) / 1000</f>
        <v/>
      </c>
      <c r="F22" s="11">
        <f>(B22 * $C$8 * (1 + 0.05)) / 1000</f>
        <v/>
      </c>
      <c r="G22" s="11">
        <f>(B22 * $C$8 * (1 + 0.1)) / 1000</f>
        <v/>
      </c>
    </row>
    <row r="23">
      <c r="B23" s="30" t="n">
        <v>100</v>
      </c>
      <c r="C23" s="11">
        <f>(B23 * $C$8 * (1 + -0.1)) / 1000</f>
        <v/>
      </c>
      <c r="D23" s="11">
        <f>(B23 * $C$8 * (1 + -0.05)) / 1000</f>
        <v/>
      </c>
      <c r="E23" s="11">
        <f>(B23 * $C$8 * (1 + 0.0)) / 1000</f>
        <v/>
      </c>
      <c r="F23" s="11">
        <f>(B23 * $C$8 * (1 + 0.05)) / 1000</f>
        <v/>
      </c>
      <c r="G23" s="11">
        <f>(B23 * $C$8 * (1 + 0.1)) / 1000</f>
        <v/>
      </c>
    </row>
    <row r="24">
      <c r="B24" s="30" t="n">
        <v>110</v>
      </c>
      <c r="C24" s="11">
        <f>(B24 * $C$8 * (1 + -0.1)) / 1000</f>
        <v/>
      </c>
      <c r="D24" s="11">
        <f>(B24 * $C$8 * (1 + -0.05)) / 1000</f>
        <v/>
      </c>
      <c r="E24" s="11">
        <f>(B24 * $C$8 * (1 + 0.0)) / 1000</f>
        <v/>
      </c>
      <c r="F24" s="11">
        <f>(B24 * $C$8 * (1 + 0.05)) / 1000</f>
        <v/>
      </c>
      <c r="G24" s="11">
        <f>(B24 * $C$8 * (1 + 0.1)) / 1000</f>
        <v/>
      </c>
    </row>
    <row r="25">
      <c r="B25" s="30" t="n">
        <v>120</v>
      </c>
      <c r="C25" s="11">
        <f>(B25 * $C$8 * (1 + -0.1)) / 1000</f>
        <v/>
      </c>
      <c r="D25" s="11">
        <f>(B25 * $C$8 * (1 + -0.05)) / 1000</f>
        <v/>
      </c>
      <c r="E25" s="11">
        <f>(B25 * $C$8 * (1 + 0.0)) / 1000</f>
        <v/>
      </c>
      <c r="F25" s="11">
        <f>(B25 * $C$8 * (1 + 0.05)) / 1000</f>
        <v/>
      </c>
      <c r="G25" s="11">
        <f>(B25 * $C$8 * (1 + 0.1)) / 1000</f>
        <v/>
      </c>
    </row>
    <row r="26"/>
    <row r="27"/>
    <row r="28">
      <c r="B28" s="6" t="inlineStr">
        <is>
          <t>Sensitivity Matrix 2: Annual Forex Import Bill (₹ Lakh Crore)</t>
        </is>
      </c>
    </row>
    <row r="29">
      <c r="B29" s="2" t="inlineStr">
        <is>
          <t>Testing Oil Price ($/bbl) against USD/INR Currency Depreciation</t>
        </is>
      </c>
    </row>
    <row r="30"/>
    <row r="31">
      <c r="B31" s="32" t="inlineStr">
        <is>
          <t>Crude Price ($/bbl)</t>
        </is>
      </c>
      <c r="C31" s="32" t="inlineStr">
        <is>
          <t>₹75/$</t>
        </is>
      </c>
      <c r="D31" s="32" t="inlineStr">
        <is>
          <t>₹78/$</t>
        </is>
      </c>
      <c r="E31" s="32" t="inlineStr">
        <is>
          <t>₹80/$</t>
        </is>
      </c>
      <c r="F31" s="32" t="inlineStr">
        <is>
          <t>₹83/$</t>
        </is>
      </c>
      <c r="G31" s="32" t="inlineStr">
        <is>
          <t>₹85/$</t>
        </is>
      </c>
      <c r="H31" s="32" t="inlineStr">
        <is>
          <t>₹88/$</t>
        </is>
      </c>
      <c r="I31" s="32" t="inlineStr">
        <is>
          <t>₹90/$</t>
        </is>
      </c>
    </row>
    <row r="32">
      <c r="B32" s="30" t="n">
        <v>60</v>
      </c>
      <c r="C32" s="33">
        <f>((B32 * $C$8 / 1000) * 75.0) / 100</f>
        <v/>
      </c>
      <c r="D32" s="33">
        <f>((B32 * $C$8 / 1000) * 78.0) / 100</f>
        <v/>
      </c>
      <c r="E32" s="33">
        <f>((B32 * $C$8 / 1000) * 80.0) / 100</f>
        <v/>
      </c>
      <c r="F32" s="33">
        <f>((B32 * $C$8 / 1000) * 83.0) / 100</f>
        <v/>
      </c>
      <c r="G32" s="33">
        <f>((B32 * $C$8 / 1000) * 85.0) / 100</f>
        <v/>
      </c>
      <c r="H32" s="33">
        <f>((B32 * $C$8 / 1000) * 88.0) / 100</f>
        <v/>
      </c>
      <c r="I32" s="33">
        <f>((B32 * $C$8 / 1000) * 90.0) / 100</f>
        <v/>
      </c>
    </row>
    <row r="33">
      <c r="B33" s="30" t="n">
        <v>70</v>
      </c>
      <c r="C33" s="33">
        <f>((B33 * $C$8 / 1000) * 75.0) / 100</f>
        <v/>
      </c>
      <c r="D33" s="33">
        <f>((B33 * $C$8 / 1000) * 78.0) / 100</f>
        <v/>
      </c>
      <c r="E33" s="33">
        <f>((B33 * $C$8 / 1000) * 80.0) / 100</f>
        <v/>
      </c>
      <c r="F33" s="33">
        <f>((B33 * $C$8 / 1000) * 83.0) / 100</f>
        <v/>
      </c>
      <c r="G33" s="33">
        <f>((B33 * $C$8 / 1000) * 85.0) / 100</f>
        <v/>
      </c>
      <c r="H33" s="33">
        <f>((B33 * $C$8 / 1000) * 88.0) / 100</f>
        <v/>
      </c>
      <c r="I33" s="33">
        <f>((B33 * $C$8 / 1000) * 90.0) / 100</f>
        <v/>
      </c>
    </row>
    <row r="34">
      <c r="B34" s="30" t="n">
        <v>80</v>
      </c>
      <c r="C34" s="33">
        <f>((B34 * $C$8 / 1000) * 75.0) / 100</f>
        <v/>
      </c>
      <c r="D34" s="33">
        <f>((B34 * $C$8 / 1000) * 78.0) / 100</f>
        <v/>
      </c>
      <c r="E34" s="33">
        <f>((B34 * $C$8 / 1000) * 80.0) / 100</f>
        <v/>
      </c>
      <c r="F34" s="34">
        <f>((B34 * $C$8 / 1000) * 83.0) / 100</f>
        <v/>
      </c>
      <c r="G34" s="33">
        <f>((B34 * $C$8 / 1000) * 85.0) / 100</f>
        <v/>
      </c>
      <c r="H34" s="33">
        <f>((B34 * $C$8 / 1000) * 88.0) / 100</f>
        <v/>
      </c>
      <c r="I34" s="33">
        <f>((B34 * $C$8 / 1000) * 90.0) / 100</f>
        <v/>
      </c>
    </row>
    <row r="35">
      <c r="B35" s="30" t="n">
        <v>90</v>
      </c>
      <c r="C35" s="33">
        <f>((B35 * $C$8 / 1000) * 75.0) / 100</f>
        <v/>
      </c>
      <c r="D35" s="33">
        <f>((B35 * $C$8 / 1000) * 78.0) / 100</f>
        <v/>
      </c>
      <c r="E35" s="33">
        <f>((B35 * $C$8 / 1000) * 80.0) / 100</f>
        <v/>
      </c>
      <c r="F35" s="33">
        <f>((B35 * $C$8 / 1000) * 83.0) / 100</f>
        <v/>
      </c>
      <c r="G35" s="33">
        <f>((B35 * $C$8 / 1000) * 85.0) / 100</f>
        <v/>
      </c>
      <c r="H35" s="33">
        <f>((B35 * $C$8 / 1000) * 88.0) / 100</f>
        <v/>
      </c>
      <c r="I35" s="33">
        <f>((B35 * $C$8 / 1000) * 90.0) / 100</f>
        <v/>
      </c>
    </row>
    <row r="36">
      <c r="B36" s="30" t="n">
        <v>100</v>
      </c>
      <c r="C36" s="33">
        <f>((B36 * $C$8 / 1000) * 75.0) / 100</f>
        <v/>
      </c>
      <c r="D36" s="33">
        <f>((B36 * $C$8 / 1000) * 78.0) / 100</f>
        <v/>
      </c>
      <c r="E36" s="33">
        <f>((B36 * $C$8 / 1000) * 80.0) / 100</f>
        <v/>
      </c>
      <c r="F36" s="33">
        <f>((B36 * $C$8 / 1000) * 83.0) / 100</f>
        <v/>
      </c>
      <c r="G36" s="33">
        <f>((B36 * $C$8 / 1000) * 85.0) / 100</f>
        <v/>
      </c>
      <c r="H36" s="33">
        <f>((B36 * $C$8 / 1000) * 88.0) / 100</f>
        <v/>
      </c>
      <c r="I36" s="33">
        <f>((B36 * $C$8 / 1000) * 90.0) / 100</f>
        <v/>
      </c>
    </row>
    <row r="37">
      <c r="B37" s="30" t="n">
        <v>110</v>
      </c>
      <c r="C37" s="33">
        <f>((B37 * $C$8 / 1000) * 75.0) / 100</f>
        <v/>
      </c>
      <c r="D37" s="33">
        <f>((B37 * $C$8 / 1000) * 78.0) / 100</f>
        <v/>
      </c>
      <c r="E37" s="33">
        <f>((B37 * $C$8 / 1000) * 80.0) / 100</f>
        <v/>
      </c>
      <c r="F37" s="33">
        <f>((B37 * $C$8 / 1000) * 83.0) / 100</f>
        <v/>
      </c>
      <c r="G37" s="33">
        <f>((B37 * $C$8 / 1000) * 85.0) / 100</f>
        <v/>
      </c>
      <c r="H37" s="33">
        <f>((B37 * $C$8 / 1000) * 88.0) / 100</f>
        <v/>
      </c>
      <c r="I37" s="33">
        <f>((B37 * $C$8 / 1000) * 90.0) / 100</f>
        <v/>
      </c>
    </row>
    <row r="38">
      <c r="B38" s="30" t="n">
        <v>120</v>
      </c>
      <c r="C38" s="33">
        <f>((B38 * $C$8 / 1000) * 75.0) / 100</f>
        <v/>
      </c>
      <c r="D38" s="33">
        <f>((B38 * $C$8 / 1000) * 78.0) / 100</f>
        <v/>
      </c>
      <c r="E38" s="33">
        <f>((B38 * $C$8 / 1000) * 80.0) / 100</f>
        <v/>
      </c>
      <c r="F38" s="33">
        <f>((B38 * $C$8 / 1000) * 83.0) / 100</f>
        <v/>
      </c>
      <c r="G38" s="33">
        <f>((B38 * $C$8 / 1000) * 85.0) / 100</f>
        <v/>
      </c>
      <c r="H38" s="33">
        <f>((B38 * $C$8 / 1000) * 88.0) / 100</f>
        <v/>
      </c>
      <c r="I38" s="33">
        <f>((B38 * $C$8 / 1000) * 90.0) / 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8" customWidth="1" min="2" max="2"/>
    <col width="21" customWidth="1" min="3" max="3"/>
    <col width="32" customWidth="1" min="4" max="4"/>
    <col width="29" customWidth="1" min="5" max="5"/>
    <col width="32" customWidth="1" min="6" max="6"/>
    <col width="24" customWidth="1" min="7" max="7"/>
    <col width="24" customWidth="1" min="8" max="8"/>
    <col width="27" customWidth="1" min="9" max="9"/>
  </cols>
  <sheetData>
    <row r="1"/>
    <row r="2">
      <c r="B2" s="1" t="inlineStr">
        <is>
          <t>REFINING CAPACITY, YIELD &amp; SELF-SUFFICIENCY BALANCE SHEET</t>
        </is>
      </c>
    </row>
    <row r="3">
      <c r="B3" s="2" t="inlineStr">
        <is>
          <t>Demonstrating India's Position as an Export Refining Powerhouse despite Domestic Crude Deficits</t>
        </is>
      </c>
    </row>
    <row r="4"/>
    <row r="5">
      <c r="B5" s="7" t="inlineStr">
        <is>
          <t>Fiscal Year</t>
        </is>
      </c>
      <c r="C5" s="7" t="inlineStr">
        <is>
          <t>Crude Intake (MMT)</t>
        </is>
      </c>
      <c r="D5" s="7" t="inlineStr">
        <is>
          <t>Finished Product Output (MMT)</t>
        </is>
      </c>
      <c r="E5" s="7" t="inlineStr">
        <is>
          <t>Domestic Consumption (MMT)</t>
        </is>
      </c>
      <c r="F5" s="7" t="inlineStr">
        <is>
          <t>Refining Self-Sufficiency (%)</t>
        </is>
      </c>
      <c r="G5" s="7" t="inlineStr">
        <is>
          <t>Product Exports (MMT)</t>
        </is>
      </c>
      <c r="H5" s="7" t="inlineStr">
        <is>
          <t>Product Imports (MMT)</t>
        </is>
      </c>
      <c r="I5" s="7" t="inlineStr">
        <is>
          <t>Net Export Surplus (MMT)</t>
        </is>
      </c>
    </row>
    <row r="6">
      <c r="B6" s="8" t="inlineStr">
        <is>
          <t>FY 2014-15</t>
        </is>
      </c>
      <c r="C6" s="9" t="n">
        <v>224.94</v>
      </c>
      <c r="D6" s="9" t="n">
        <v>211.44</v>
      </c>
      <c r="E6" s="9" t="n">
        <v>163.85</v>
      </c>
      <c r="F6" s="10" t="n">
        <v>1.290448581019225</v>
      </c>
      <c r="G6" s="9" t="n">
        <v>57.64</v>
      </c>
      <c r="H6" s="9" t="n">
        <v>11.25</v>
      </c>
      <c r="I6" s="9" t="n">
        <v>46.39</v>
      </c>
    </row>
    <row r="7">
      <c r="B7" s="13" t="inlineStr">
        <is>
          <t>FY 2015-16</t>
        </is>
      </c>
      <c r="C7" s="14" t="n">
        <v>228.89</v>
      </c>
      <c r="D7" s="14" t="n">
        <v>215.16</v>
      </c>
      <c r="E7" s="14" t="n">
        <v>172.56</v>
      </c>
      <c r="F7" s="15" t="n">
        <v>1.246870653685674</v>
      </c>
      <c r="G7" s="14" t="n">
        <v>58.53</v>
      </c>
      <c r="H7" s="14" t="n">
        <v>17.13</v>
      </c>
      <c r="I7" s="14" t="n">
        <v>41.4</v>
      </c>
    </row>
    <row r="8">
      <c r="B8" s="8" t="inlineStr">
        <is>
          <t>FY 2016-17</t>
        </is>
      </c>
      <c r="C8" s="9" t="n">
        <v>236.55</v>
      </c>
      <c r="D8" s="9" t="n">
        <v>222.36</v>
      </c>
      <c r="E8" s="9" t="n">
        <v>180.91</v>
      </c>
      <c r="F8" s="10" t="n">
        <v>1.229119451661047</v>
      </c>
      <c r="G8" s="9" t="n">
        <v>60.36</v>
      </c>
      <c r="H8" s="9" t="n">
        <v>20.11</v>
      </c>
      <c r="I8" s="9" t="n">
        <v>40.25</v>
      </c>
    </row>
    <row r="9">
      <c r="B9" s="13" t="inlineStr">
        <is>
          <t>FY 2017-18</t>
        </is>
      </c>
      <c r="C9" s="14" t="n">
        <v>240.9</v>
      </c>
      <c r="D9" s="14" t="n">
        <v>226.45</v>
      </c>
      <c r="E9" s="14" t="n">
        <v>189.03</v>
      </c>
      <c r="F9" s="15" t="n">
        <v>1.197957996085277</v>
      </c>
      <c r="G9" s="14" t="n">
        <v>60.73</v>
      </c>
      <c r="H9" s="14" t="n">
        <v>24.51</v>
      </c>
      <c r="I9" s="14" t="n">
        <v>36.22</v>
      </c>
    </row>
    <row r="10">
      <c r="B10" s="8" t="inlineStr">
        <is>
          <t>FY 2018-19</t>
        </is>
      </c>
      <c r="C10" s="9" t="n">
        <v>247.54</v>
      </c>
      <c r="D10" s="9" t="n">
        <v>232.69</v>
      </c>
      <c r="E10" s="9" t="n">
        <v>197.47</v>
      </c>
      <c r="F10" s="10" t="n">
        <v>1.178356206005976</v>
      </c>
      <c r="G10" s="9" t="n">
        <v>61.53</v>
      </c>
      <c r="H10" s="9" t="n">
        <v>27.51</v>
      </c>
      <c r="I10" s="9" t="n">
        <v>34.02</v>
      </c>
    </row>
    <row r="11">
      <c r="B11" s="13" t="inlineStr">
        <is>
          <t>FY 2019-20</t>
        </is>
      </c>
      <c r="C11" s="14" t="n">
        <v>252.12</v>
      </c>
      <c r="D11" s="14" t="n">
        <v>236.99</v>
      </c>
      <c r="E11" s="14" t="n">
        <v>206.1</v>
      </c>
      <c r="F11" s="15" t="n">
        <v>1.149878699660359</v>
      </c>
      <c r="G11" s="14" t="n">
        <v>62.69</v>
      </c>
      <c r="H11" s="14" t="n">
        <v>33</v>
      </c>
      <c r="I11" s="14" t="n">
        <v>29.69</v>
      </c>
    </row>
    <row r="12">
      <c r="B12" s="8" t="inlineStr">
        <is>
          <t>FY 2020-21</t>
        </is>
      </c>
      <c r="C12" s="9" t="n">
        <v>251.87</v>
      </c>
      <c r="D12" s="9" t="n">
        <v>236.76</v>
      </c>
      <c r="E12" s="9" t="n">
        <v>201.84</v>
      </c>
      <c r="F12" s="10" t="n">
        <v>1.173008323424495</v>
      </c>
      <c r="G12" s="9" t="n">
        <v>64.26000000000001</v>
      </c>
      <c r="H12" s="9" t="n">
        <v>30.54</v>
      </c>
      <c r="I12" s="9" t="n">
        <v>33.72</v>
      </c>
    </row>
    <row r="13">
      <c r="B13" s="13" t="inlineStr">
        <is>
          <t>FY 2021-22</t>
        </is>
      </c>
      <c r="C13" s="14" t="n">
        <v>265</v>
      </c>
      <c r="D13" s="14" t="n">
        <v>249.1</v>
      </c>
      <c r="E13" s="14" t="n">
        <v>223.5</v>
      </c>
      <c r="F13" s="15" t="n">
        <v>1.114541387024608</v>
      </c>
      <c r="G13" s="14" t="n">
        <v>64.94</v>
      </c>
      <c r="H13" s="14" t="n">
        <v>40.54</v>
      </c>
      <c r="I13" s="14" t="n">
        <v>24.4</v>
      </c>
    </row>
    <row r="14">
      <c r="B14" s="8" t="inlineStr">
        <is>
          <t>FY 2022-23</t>
        </is>
      </c>
      <c r="C14" s="9" t="n">
        <v>269.63</v>
      </c>
      <c r="D14" s="9" t="n">
        <v>253.45</v>
      </c>
      <c r="E14" s="9" t="n">
        <v>232.23</v>
      </c>
      <c r="F14" s="10" t="n">
        <v>1.091374930026267</v>
      </c>
      <c r="G14" s="9" t="n">
        <v>66.25</v>
      </c>
      <c r="H14" s="9" t="n">
        <v>46.23</v>
      </c>
      <c r="I14" s="9" t="n">
        <v>20.02</v>
      </c>
    </row>
    <row r="15">
      <c r="B15" s="13" t="inlineStr">
        <is>
          <t>FY 2023-24</t>
        </is>
      </c>
      <c r="C15" s="14" t="n">
        <v>276.58</v>
      </c>
      <c r="D15" s="14" t="n">
        <v>259.99</v>
      </c>
      <c r="E15" s="14" t="n">
        <v>241.12</v>
      </c>
      <c r="F15" s="15" t="n">
        <v>1.078259787657598</v>
      </c>
      <c r="G15" s="14" t="n">
        <v>66.81</v>
      </c>
      <c r="H15" s="14" t="n">
        <v>49.14</v>
      </c>
      <c r="I15" s="14" t="n">
        <v>17.67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30" customWidth="1" min="3" max="3"/>
    <col width="12" customWidth="1" min="4" max="4"/>
    <col width="23" customWidth="1" min="5" max="5"/>
    <col width="26" customWidth="1" min="6" max="6"/>
    <col width="27" customWidth="1" min="7" max="7"/>
    <col width="32" customWidth="1" min="8" max="8"/>
    <col width="29" customWidth="1" min="9" max="9"/>
    <col width="12" customWidth="1" min="10" max="10"/>
    <col width="27" customWidth="1" min="11" max="11"/>
    <col width="21" customWidth="1" min="12" max="12"/>
  </cols>
  <sheetData>
    <row r="1"/>
    <row r="2">
      <c r="B2" s="1" t="inlineStr">
        <is>
          <t>10-YEAR PETROLEUM PRODUCT DEMAND EVOLUTION (MMT)</t>
        </is>
      </c>
    </row>
    <row r="3">
      <c r="B3" s="2" t="inlineStr">
        <is>
          <t>Structural Consumption Shifts across Middle Distillates, Light Ends, and Heavy Products</t>
        </is>
      </c>
    </row>
    <row r="4"/>
    <row r="5">
      <c r="B5" s="35" t="inlineStr">
        <is>
          <t>Fiscal Year</t>
        </is>
      </c>
      <c r="C5" s="35" t="inlineStr">
        <is>
          <t>Aviation Turbine Fuel (ATF)</t>
        </is>
      </c>
      <c r="D5" s="35" t="inlineStr">
        <is>
          <t>Bitumen</t>
        </is>
      </c>
      <c r="E5" s="35" t="inlineStr">
        <is>
          <t>Fuel Oil (FO / LSHS)</t>
        </is>
      </c>
      <c r="F5" s="35" t="inlineStr">
        <is>
          <t>High Speed Diesel (HSD)</t>
        </is>
      </c>
      <c r="G5" s="35" t="inlineStr">
        <is>
          <t>Light Diesel Oil &amp; Lubes</t>
        </is>
      </c>
      <c r="H5" s="35" t="inlineStr">
        <is>
          <t>Liquefied Petroleum Gas (LPG)</t>
        </is>
      </c>
      <c r="I5" s="35" t="inlineStr">
        <is>
          <t>Motor Spirit (Petrol / MS)</t>
        </is>
      </c>
      <c r="J5" s="35" t="inlineStr">
        <is>
          <t>Naphtha</t>
        </is>
      </c>
      <c r="K5" s="35" t="inlineStr">
        <is>
          <t>Petroleum Coke (Petcoke)</t>
        </is>
      </c>
      <c r="L5" s="35" t="inlineStr">
        <is>
          <t>Total Demand (MMT)</t>
        </is>
      </c>
    </row>
    <row r="6">
      <c r="B6" s="8" t="inlineStr">
        <is>
          <t>FY 2014-15</t>
        </is>
      </c>
      <c r="C6" s="9" t="n">
        <v>5.84</v>
      </c>
      <c r="D6" s="9" t="n">
        <v>6.4</v>
      </c>
      <c r="E6" s="9" t="n">
        <v>7.66</v>
      </c>
      <c r="F6" s="9" t="n">
        <v>67.81</v>
      </c>
      <c r="G6" s="9" t="n">
        <v>11.85</v>
      </c>
      <c r="H6" s="9" t="n">
        <v>18.95</v>
      </c>
      <c r="I6" s="9" t="n">
        <v>22.44</v>
      </c>
      <c r="J6" s="9" t="n">
        <v>10.2</v>
      </c>
      <c r="K6" s="9" t="n">
        <v>12.7</v>
      </c>
      <c r="L6" s="36">
        <f>SUM(C6:K6)</f>
        <v/>
      </c>
    </row>
    <row r="7">
      <c r="B7" s="13" t="inlineStr">
        <is>
          <t>FY 2015-16</t>
        </is>
      </c>
      <c r="C7" s="14" t="n">
        <v>6.2</v>
      </c>
      <c r="D7" s="14" t="n">
        <v>6.67</v>
      </c>
      <c r="E7" s="14" t="n">
        <v>7.99</v>
      </c>
      <c r="F7" s="14" t="n">
        <v>70.43000000000001</v>
      </c>
      <c r="G7" s="14" t="n">
        <v>12.51</v>
      </c>
      <c r="H7" s="14" t="n">
        <v>20.44</v>
      </c>
      <c r="I7" s="14" t="n">
        <v>24.27</v>
      </c>
      <c r="J7" s="14" t="n">
        <v>10.67</v>
      </c>
      <c r="K7" s="14" t="n">
        <v>13.36</v>
      </c>
      <c r="L7" s="37">
        <f>SUM(C7:K7)</f>
        <v/>
      </c>
    </row>
    <row r="8">
      <c r="B8" s="8" t="inlineStr">
        <is>
          <t>FY 2016-17</t>
        </is>
      </c>
      <c r="C8" s="9" t="n">
        <v>6.53</v>
      </c>
      <c r="D8" s="9" t="n">
        <v>7.03</v>
      </c>
      <c r="E8" s="9" t="n">
        <v>8.4</v>
      </c>
      <c r="F8" s="9" t="n">
        <v>72.86</v>
      </c>
      <c r="G8" s="9" t="n">
        <v>13</v>
      </c>
      <c r="H8" s="9" t="n">
        <v>21.85</v>
      </c>
      <c r="I8" s="9" t="n">
        <v>26.15</v>
      </c>
      <c r="J8" s="9" t="n">
        <v>11.19</v>
      </c>
      <c r="K8" s="9" t="n">
        <v>13.9</v>
      </c>
      <c r="L8" s="36">
        <f>SUM(C8:K8)</f>
        <v/>
      </c>
    </row>
    <row r="9">
      <c r="B9" s="13" t="inlineStr">
        <is>
          <t>FY 2017-18</t>
        </is>
      </c>
      <c r="C9" s="14" t="n">
        <v>6.75</v>
      </c>
      <c r="D9" s="14" t="n">
        <v>7.21</v>
      </c>
      <c r="E9" s="14" t="n">
        <v>8.67</v>
      </c>
      <c r="F9" s="14" t="n">
        <v>75.37</v>
      </c>
      <c r="G9" s="14" t="n">
        <v>13.6</v>
      </c>
      <c r="H9" s="14" t="n">
        <v>23.26</v>
      </c>
      <c r="I9" s="14" t="n">
        <v>28.15</v>
      </c>
      <c r="J9" s="14" t="n">
        <v>11.47</v>
      </c>
      <c r="K9" s="14" t="n">
        <v>14.54</v>
      </c>
      <c r="L9" s="37">
        <f>SUM(C9:K9)</f>
        <v/>
      </c>
    </row>
    <row r="10">
      <c r="B10" s="8" t="inlineStr">
        <is>
          <t>FY 2018-19</t>
        </is>
      </c>
      <c r="C10" s="9" t="n">
        <v>7.03</v>
      </c>
      <c r="D10" s="9" t="n">
        <v>7.41</v>
      </c>
      <c r="E10" s="9" t="n">
        <v>9.130000000000001</v>
      </c>
      <c r="F10" s="9" t="n">
        <v>77.79000000000001</v>
      </c>
      <c r="G10" s="9" t="n">
        <v>14.04</v>
      </c>
      <c r="H10" s="9" t="n">
        <v>24.82</v>
      </c>
      <c r="I10" s="9" t="n">
        <v>30.19</v>
      </c>
      <c r="J10" s="9" t="n">
        <v>12</v>
      </c>
      <c r="K10" s="9" t="n">
        <v>15.06</v>
      </c>
      <c r="L10" s="36">
        <f>SUM(C10:K10)</f>
        <v/>
      </c>
    </row>
    <row r="11">
      <c r="B11" s="13" t="inlineStr">
        <is>
          <t>FY 2019-20</t>
        </is>
      </c>
      <c r="C11" s="14" t="n">
        <v>7.3</v>
      </c>
      <c r="D11" s="14" t="n">
        <v>7.91</v>
      </c>
      <c r="E11" s="14" t="n">
        <v>9.44</v>
      </c>
      <c r="F11" s="14" t="n">
        <v>80.14</v>
      </c>
      <c r="G11" s="14" t="n">
        <v>14.54</v>
      </c>
      <c r="H11" s="14" t="n">
        <v>26.37</v>
      </c>
      <c r="I11" s="14" t="n">
        <v>32.35</v>
      </c>
      <c r="J11" s="14" t="n">
        <v>12.42</v>
      </c>
      <c r="K11" s="14" t="n">
        <v>15.63</v>
      </c>
      <c r="L11" s="37">
        <f>SUM(C11:K11)</f>
        <v/>
      </c>
    </row>
    <row r="12">
      <c r="B12" s="8" t="inlineStr">
        <is>
          <t>FY 2020-21</t>
        </is>
      </c>
      <c r="C12" s="9" t="n">
        <v>7.2</v>
      </c>
      <c r="D12" s="9" t="n">
        <v>7.6</v>
      </c>
      <c r="E12" s="9" t="n">
        <v>9.210000000000001</v>
      </c>
      <c r="F12" s="9" t="n">
        <v>77.31999999999999</v>
      </c>
      <c r="G12" s="9" t="n">
        <v>14.26</v>
      </c>
      <c r="H12" s="9" t="n">
        <v>26.31</v>
      </c>
      <c r="I12" s="9" t="n">
        <v>32.43</v>
      </c>
      <c r="J12" s="9" t="n">
        <v>12.29</v>
      </c>
      <c r="K12" s="9" t="n">
        <v>15.23</v>
      </c>
      <c r="L12" s="36">
        <f>SUM(C12:K12)</f>
        <v/>
      </c>
    </row>
    <row r="13">
      <c r="B13" s="13" t="inlineStr">
        <is>
          <t>FY 2021-22</t>
        </is>
      </c>
      <c r="C13" s="14" t="n">
        <v>7.86</v>
      </c>
      <c r="D13" s="14" t="n">
        <v>8.51</v>
      </c>
      <c r="E13" s="14" t="n">
        <v>10.09</v>
      </c>
      <c r="F13" s="14" t="n">
        <v>84.76000000000001</v>
      </c>
      <c r="G13" s="14" t="n">
        <v>15.72</v>
      </c>
      <c r="H13" s="14" t="n">
        <v>29.65</v>
      </c>
      <c r="I13" s="14" t="n">
        <v>36.69</v>
      </c>
      <c r="J13" s="14" t="n">
        <v>13.41</v>
      </c>
      <c r="K13" s="14" t="n">
        <v>16.82</v>
      </c>
      <c r="L13" s="37">
        <f>SUM(C13:K13)</f>
        <v/>
      </c>
    </row>
    <row r="14">
      <c r="B14" s="8" t="inlineStr">
        <is>
          <t>FY 2022-23</t>
        </is>
      </c>
      <c r="C14" s="9" t="n">
        <v>8.220000000000001</v>
      </c>
      <c r="D14" s="9" t="n">
        <v>8.699999999999999</v>
      </c>
      <c r="E14" s="9" t="n">
        <v>10.4</v>
      </c>
      <c r="F14" s="9" t="n">
        <v>86.95</v>
      </c>
      <c r="G14" s="9" t="n">
        <v>16.3</v>
      </c>
      <c r="H14" s="9" t="n">
        <v>31.44</v>
      </c>
      <c r="I14" s="9" t="n">
        <v>38.98</v>
      </c>
      <c r="J14" s="9" t="n">
        <v>13.87</v>
      </c>
      <c r="K14" s="9" t="n">
        <v>17.36</v>
      </c>
      <c r="L14" s="36">
        <f>SUM(C14:K14)</f>
        <v/>
      </c>
    </row>
    <row r="15">
      <c r="B15" s="13" t="inlineStr">
        <is>
          <t>FY 2023-24</t>
        </is>
      </c>
      <c r="C15" s="14" t="n">
        <v>8.41</v>
      </c>
      <c r="D15" s="14" t="n">
        <v>8.880000000000001</v>
      </c>
      <c r="E15" s="14" t="n">
        <v>10.86</v>
      </c>
      <c r="F15" s="14" t="n">
        <v>89.14</v>
      </c>
      <c r="G15" s="14" t="n">
        <v>16.78</v>
      </c>
      <c r="H15" s="14" t="n">
        <v>33.15</v>
      </c>
      <c r="I15" s="14" t="n">
        <v>41.43</v>
      </c>
      <c r="J15" s="14" t="n">
        <v>14.48</v>
      </c>
      <c r="K15" s="14" t="n">
        <v>17.97</v>
      </c>
      <c r="L15" s="37">
        <f>SUM(C15:K15)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2026-09-19T20:45:13Z</dcterms:created>
  <dcterms:modified xmlns:dcterms="http://purl.org/dc/terms/" xmlns:xsi="http://www.w3.org/2001/XMLSchema-instance" xsi:type="dcterms:W3CDTF">2026-09-19T20:45:13Z</dcterms:modified>
</cp:coreProperties>
</file>